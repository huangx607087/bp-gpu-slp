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15" windowHeight="12450"/>
  </bookViews>
  <sheets>
    <sheet name="BP" sheetId="1" r:id="rId1"/>
    <sheet name="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<sst xmlns="http://schemas.openxmlformats.org/spreadsheetml/2006/main" count="46" uniqueCount="7">
  <si>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n</t>
  </si>
  <si>
    <t>w=8</t>
  </si>
  <si>
    <t>w=10</t>
  </si>
  <si>
    <t>w=12</t>
  </si>
  <si>
    <t>w=14</t>
  </si>
  <si>
    <t>w=16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</si>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</sst>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zoomScale="130" zoomScaleNormal="130" workbookViewId="0">
      <selection activeCell="J6" sqref="A1:P18"/>
    </sheetView>
  </sheetViews>
  <sheetFormatPr defaultColWidth="9" defaultRowHeight="13.5"/>
  <cols>
    <col min="1" max="2" width="9" style="7"/>
    <col min="3" max="3" width="12.625" style="7"/>
    <col min="4" max="4" width="9" style="7"/>
    <col min="5" max="5" width="9.375" style="7"/>
    <col min="6" max="6" width="12.625" style="7"/>
    <col min="7" max="7" width="9" style="7"/>
    <col min="8" max="8" width="9.375" style="7"/>
    <col min="9" max="9" width="12.625" style="7"/>
    <col min="10" max="10" width="9" style="7"/>
    <col min="11" max="11" width="9.375" style="7"/>
    <col min="12" max="12" width="12.625" style="7"/>
    <col min="13" max="13" width="9" style="7"/>
    <col min="14" max="14" width="9.375" style="7"/>
    <col min="15" max="16" width="12.625" style="7"/>
    <col min="17" max="16384" width="9" style="7"/>
  </cols>
  <sheetData>
    <row r="1" spans="1:16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</row>
    <row r="2" spans="1:16">
      <c r="A2" s="1">
        <v>32</v>
      </c>
      <c r="B2" s="1">
        <v>1993</v>
      </c>
      <c r="C2" s="1">
        <v>1116</v>
      </c>
      <c r="D2" s="1">
        <v>-5</v>
      </c>
      <c r="E2" s="1">
        <v>687</v>
      </c>
      <c r="F2" s="1">
        <v>1124</v>
      </c>
      <c r="G2" s="1">
        <v>-13</v>
      </c>
      <c r="H2" s="1">
        <v>2777</v>
      </c>
      <c r="I2" s="1">
        <v>1170</v>
      </c>
      <c r="J2" s="1">
        <v>-24</v>
      </c>
      <c r="K2" s="4">
        <v>18414</v>
      </c>
      <c r="L2" s="4">
        <v>1348</v>
      </c>
      <c r="M2" s="4">
        <v>-19</v>
      </c>
      <c r="N2" s="1">
        <v>33284</v>
      </c>
      <c r="O2" s="1">
        <v>1694</v>
      </c>
      <c r="P2" s="1">
        <v>-32</v>
      </c>
    </row>
    <row r="3" spans="1:16">
      <c r="A3" s="1">
        <v>34</v>
      </c>
      <c r="B3" s="1">
        <v>176</v>
      </c>
      <c r="C3" s="1">
        <v>1118</v>
      </c>
      <c r="D3" s="1">
        <v>-7</v>
      </c>
      <c r="E3" s="1">
        <v>1546</v>
      </c>
      <c r="F3" s="1">
        <v>1134</v>
      </c>
      <c r="G3" s="1">
        <v>-11</v>
      </c>
      <c r="H3" s="1">
        <v>7206</v>
      </c>
      <c r="I3" s="1">
        <v>1156</v>
      </c>
      <c r="J3" s="1">
        <v>-20</v>
      </c>
      <c r="K3" s="1">
        <v>20630</v>
      </c>
      <c r="L3" s="1">
        <v>1228</v>
      </c>
      <c r="M3" s="1">
        <v>-28</v>
      </c>
      <c r="N3" s="1">
        <v>66266</v>
      </c>
      <c r="O3" s="1">
        <v>2024</v>
      </c>
      <c r="P3" s="1">
        <v>-30</v>
      </c>
    </row>
    <row r="4" spans="1:16">
      <c r="A4" s="1">
        <v>36</v>
      </c>
      <c r="B4" s="1">
        <v>633</v>
      </c>
      <c r="C4" s="1">
        <v>1130</v>
      </c>
      <c r="D4" s="1">
        <v>-8</v>
      </c>
      <c r="E4" s="1">
        <v>1558</v>
      </c>
      <c r="F4" s="1">
        <v>1120</v>
      </c>
      <c r="G4" s="1">
        <v>-14</v>
      </c>
      <c r="H4" s="1">
        <v>11819</v>
      </c>
      <c r="I4" s="1">
        <v>1176</v>
      </c>
      <c r="J4" s="1">
        <v>-20</v>
      </c>
      <c r="K4" s="1">
        <v>46524</v>
      </c>
      <c r="L4" s="1">
        <v>1470</v>
      </c>
      <c r="M4" s="1">
        <v>-26</v>
      </c>
      <c r="N4" s="1">
        <v>504080</v>
      </c>
      <c r="O4" s="1">
        <v>4944</v>
      </c>
      <c r="P4" s="1">
        <v>-28</v>
      </c>
    </row>
    <row r="5" spans="1:16">
      <c r="A5" s="1">
        <v>38</v>
      </c>
      <c r="B5" s="1">
        <v>261</v>
      </c>
      <c r="C5" s="1">
        <v>1118</v>
      </c>
      <c r="D5" s="1">
        <v>-9</v>
      </c>
      <c r="E5" s="1">
        <v>2554</v>
      </c>
      <c r="F5" s="1">
        <v>1208</v>
      </c>
      <c r="G5" s="1">
        <v>-15</v>
      </c>
      <c r="H5" s="1">
        <v>20027</v>
      </c>
      <c r="I5" s="1">
        <v>1260</v>
      </c>
      <c r="J5" s="1">
        <v>-23</v>
      </c>
      <c r="K5" s="1">
        <v>124330</v>
      </c>
      <c r="L5" s="1">
        <v>1694</v>
      </c>
      <c r="M5" s="1">
        <v>-26</v>
      </c>
      <c r="N5" s="1">
        <v>292253</v>
      </c>
      <c r="O5" s="1">
        <v>2700</v>
      </c>
      <c r="P5" s="1">
        <v>-39</v>
      </c>
    </row>
    <row r="6" spans="1:16">
      <c r="A6" s="1">
        <v>40</v>
      </c>
      <c r="B6" s="1">
        <v>834</v>
      </c>
      <c r="C6" s="1">
        <v>1128</v>
      </c>
      <c r="D6" s="1">
        <v>-2</v>
      </c>
      <c r="E6" s="1">
        <v>3803</v>
      </c>
      <c r="F6" s="1">
        <v>1138</v>
      </c>
      <c r="G6" s="1">
        <v>-14</v>
      </c>
      <c r="H6" s="1">
        <v>27936</v>
      </c>
      <c r="I6" s="1">
        <v>1284</v>
      </c>
      <c r="J6" s="1">
        <v>-23</v>
      </c>
      <c r="K6" s="1">
        <v>505317</v>
      </c>
      <c r="L6" s="1">
        <v>3624</v>
      </c>
      <c r="M6" s="1">
        <v>-30</v>
      </c>
      <c r="N6" s="1">
        <v>1247060</v>
      </c>
      <c r="O6" s="1">
        <v>7444</v>
      </c>
      <c r="P6" s="1">
        <v>-35</v>
      </c>
    </row>
    <row r="7" spans="1:16">
      <c r="A7" s="1">
        <v>42</v>
      </c>
      <c r="B7" s="1">
        <v>916</v>
      </c>
      <c r="C7" s="1">
        <v>1120</v>
      </c>
      <c r="D7" s="1">
        <v>-7</v>
      </c>
      <c r="E7" s="1">
        <v>6866</v>
      </c>
      <c r="F7" s="1">
        <v>1166</v>
      </c>
      <c r="G7" s="1">
        <v>-16</v>
      </c>
      <c r="H7" s="1">
        <v>44694</v>
      </c>
      <c r="I7" s="1">
        <v>1594</v>
      </c>
      <c r="J7" s="1">
        <v>-19</v>
      </c>
      <c r="K7" s="1">
        <v>375817</v>
      </c>
      <c r="L7" s="1">
        <v>1900</v>
      </c>
      <c r="M7" s="1">
        <v>-32</v>
      </c>
      <c r="N7" s="1">
        <v>1048492</v>
      </c>
      <c r="O7" s="1">
        <v>11882</v>
      </c>
      <c r="P7" s="1">
        <v>-30</v>
      </c>
    </row>
    <row r="8" spans="1:16">
      <c r="A8" s="1">
        <v>44</v>
      </c>
      <c r="B8" s="1">
        <v>1793</v>
      </c>
      <c r="C8" s="1">
        <v>1134</v>
      </c>
      <c r="D8" s="1">
        <v>-6</v>
      </c>
      <c r="E8" s="1">
        <v>9744</v>
      </c>
      <c r="F8" s="1">
        <v>1166</v>
      </c>
      <c r="G8" s="1">
        <v>-12</v>
      </c>
      <c r="H8" s="1">
        <v>195951</v>
      </c>
      <c r="I8" s="1">
        <v>2020</v>
      </c>
      <c r="J8" s="1">
        <v>-22</v>
      </c>
      <c r="K8" s="1">
        <v>336044</v>
      </c>
      <c r="L8" s="1">
        <v>7120</v>
      </c>
      <c r="M8" s="1">
        <v>-20</v>
      </c>
      <c r="N8" s="1"/>
      <c r="O8" s="1"/>
      <c r="P8" s="1"/>
    </row>
    <row r="9" spans="1:16">
      <c r="A9" s="1">
        <v>46</v>
      </c>
      <c r="B9" s="1">
        <v>3852</v>
      </c>
      <c r="C9" s="1">
        <v>1156</v>
      </c>
      <c r="D9" s="1">
        <v>-9</v>
      </c>
      <c r="E9" s="1">
        <v>14102</v>
      </c>
      <c r="F9" s="1">
        <v>1414</v>
      </c>
      <c r="G9" s="1">
        <v>-16</v>
      </c>
      <c r="H9" s="1">
        <v>440951</v>
      </c>
      <c r="I9" s="1">
        <v>2428</v>
      </c>
      <c r="J9" s="1">
        <v>-16</v>
      </c>
      <c r="K9" s="1">
        <v>2530772</v>
      </c>
      <c r="L9" s="1">
        <v>7444</v>
      </c>
      <c r="M9" s="1">
        <v>-30</v>
      </c>
      <c r="N9" s="1"/>
      <c r="O9" s="1"/>
      <c r="P9" s="1"/>
    </row>
    <row r="10" spans="1:16">
      <c r="A10" s="1">
        <v>48</v>
      </c>
      <c r="B10" s="1">
        <v>2337</v>
      </c>
      <c r="C10" s="1">
        <v>1124</v>
      </c>
      <c r="D10" s="1">
        <v>-10</v>
      </c>
      <c r="E10" s="1">
        <v>21023</v>
      </c>
      <c r="F10" s="1">
        <v>1196</v>
      </c>
      <c r="G10" s="1">
        <v>-11</v>
      </c>
      <c r="H10" s="1">
        <v>184822</v>
      </c>
      <c r="I10" s="1">
        <v>1984</v>
      </c>
      <c r="J10" s="1">
        <v>-18</v>
      </c>
      <c r="K10" s="1">
        <v>1879483</v>
      </c>
      <c r="L10" s="1">
        <v>8064</v>
      </c>
      <c r="M10" s="1">
        <v>-31</v>
      </c>
      <c r="N10" s="1"/>
      <c r="O10" s="1"/>
      <c r="P10" s="1"/>
    </row>
    <row r="11" spans="1:16">
      <c r="A11" s="1">
        <v>50</v>
      </c>
      <c r="B11" s="1">
        <v>7174</v>
      </c>
      <c r="C11" s="1">
        <v>1178</v>
      </c>
      <c r="D11" s="1">
        <v>-6</v>
      </c>
      <c r="E11" s="1">
        <v>30298</v>
      </c>
      <c r="F11" s="1">
        <v>1228</v>
      </c>
      <c r="G11" s="1">
        <v>-15</v>
      </c>
      <c r="H11" s="1">
        <v>1147828</v>
      </c>
      <c r="I11" s="1">
        <v>2458</v>
      </c>
      <c r="J11" s="1">
        <v>-11</v>
      </c>
      <c r="K11" s="1"/>
      <c r="L11" s="1"/>
      <c r="M11" s="1"/>
      <c r="N11" s="1"/>
      <c r="O11" s="1"/>
      <c r="P11" s="1"/>
    </row>
    <row r="12" spans="1:16">
      <c r="A12" s="1">
        <v>52</v>
      </c>
      <c r="B12" s="1">
        <v>12121</v>
      </c>
      <c r="C12" s="1">
        <v>1182</v>
      </c>
      <c r="D12" s="1">
        <v>-6</v>
      </c>
      <c r="E12" s="1">
        <v>53404</v>
      </c>
      <c r="F12" s="1">
        <v>1388</v>
      </c>
      <c r="G12" s="1">
        <v>-12</v>
      </c>
      <c r="H12" s="1">
        <v>2140735</v>
      </c>
      <c r="I12" s="1">
        <v>3518</v>
      </c>
      <c r="J12" s="1">
        <v>-17</v>
      </c>
      <c r="K12" s="1"/>
      <c r="L12" s="1"/>
      <c r="M12" s="1"/>
      <c r="N12" s="1"/>
      <c r="O12" s="1"/>
      <c r="P12" s="1"/>
    </row>
    <row r="13" spans="1:16">
      <c r="A13" s="1">
        <v>54</v>
      </c>
      <c r="B13" s="1">
        <v>11171</v>
      </c>
      <c r="C13" s="1">
        <v>1186</v>
      </c>
      <c r="D13" s="1">
        <v>-3</v>
      </c>
      <c r="E13" s="1">
        <v>209748</v>
      </c>
      <c r="F13" s="1">
        <v>1372</v>
      </c>
      <c r="G13" s="1">
        <v>-15</v>
      </c>
      <c r="H13" s="1">
        <v>3163708</v>
      </c>
      <c r="I13" s="1">
        <v>9710</v>
      </c>
      <c r="J13" s="1">
        <v>-18</v>
      </c>
      <c r="K13" s="1"/>
      <c r="L13" s="1"/>
      <c r="M13" s="1"/>
      <c r="N13" s="1"/>
      <c r="O13" s="1"/>
      <c r="P13" s="1"/>
    </row>
    <row r="14" spans="1:16">
      <c r="A14" s="1">
        <v>56</v>
      </c>
      <c r="B14" s="1">
        <v>15729</v>
      </c>
      <c r="C14" s="1">
        <v>1178</v>
      </c>
      <c r="D14" s="1">
        <v>-9</v>
      </c>
      <c r="E14" s="1">
        <v>414192</v>
      </c>
      <c r="F14" s="1">
        <v>1704</v>
      </c>
      <c r="G14" s="1">
        <v>-14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58</v>
      </c>
      <c r="B15" s="1">
        <v>15077</v>
      </c>
      <c r="C15" s="1">
        <v>1208</v>
      </c>
      <c r="D15" s="1">
        <v>-8</v>
      </c>
      <c r="E15" s="2">
        <v>971456</v>
      </c>
      <c r="F15" s="2">
        <v>1378</v>
      </c>
      <c r="G15" s="2">
        <v>-12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60</v>
      </c>
      <c r="B16" s="1">
        <v>26782</v>
      </c>
      <c r="C16" s="1">
        <v>1174</v>
      </c>
      <c r="D16" s="1">
        <v>-8</v>
      </c>
      <c r="E16" s="1">
        <v>631162</v>
      </c>
      <c r="F16" s="1">
        <v>1436</v>
      </c>
      <c r="G16" s="1">
        <v>-14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62</v>
      </c>
      <c r="B17" s="1">
        <v>27245</v>
      </c>
      <c r="C17" s="1">
        <v>1246</v>
      </c>
      <c r="D17" s="1">
        <v>-7</v>
      </c>
      <c r="E17" s="1">
        <v>960428</v>
      </c>
      <c r="F17" s="1">
        <v>2204</v>
      </c>
      <c r="G17" s="1">
        <v>-9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64</v>
      </c>
      <c r="B18" s="1">
        <v>32580</v>
      </c>
      <c r="C18" s="1">
        <v>1262</v>
      </c>
      <c r="D18" s="1">
        <v>-11</v>
      </c>
      <c r="E18" s="1">
        <v>4183917</v>
      </c>
      <c r="F18" s="1">
        <v>1834</v>
      </c>
      <c r="G18" s="1">
        <v>-11</v>
      </c>
      <c r="H18" s="1"/>
      <c r="I18" s="1"/>
      <c r="J18" s="1"/>
      <c r="K18" s="1"/>
      <c r="L18" s="1"/>
      <c r="M18" s="1"/>
      <c r="N18" s="1"/>
      <c r="O18" s="1"/>
      <c r="P18" s="1"/>
    </row>
    <row r="22" spans="1:16">
      <c r="A22" s="1" t="s">
        <v>0</v>
      </c>
      <c r="B22" s="1" t="s">
        <v>1</v>
      </c>
      <c r="C22" s="1"/>
      <c r="D22" s="1"/>
      <c r="E22" s="1" t="s">
        <v>2</v>
      </c>
      <c r="F22" s="1"/>
      <c r="G22" s="1"/>
      <c r="H22" s="1" t="s">
        <v>3</v>
      </c>
      <c r="I22" s="1"/>
      <c r="J22" s="1"/>
      <c r="K22" s="1" t="s">
        <v>4</v>
      </c>
      <c r="L22" s="1"/>
      <c r="M22" s="1"/>
      <c r="N22" s="1" t="s">
        <v>5</v>
      </c>
      <c r="O22" s="1"/>
      <c r="P22" s="1"/>
    </row>
    <row r="23" spans="1:16">
      <c r="A23" s="1">
        <v>32</v>
      </c>
      <c r="B23" s="5">
        <f>B2/1000</f>
        <v>1.993</v>
      </c>
      <c r="C23" s="5">
        <f>C2/1024</f>
        <v>1.08984375</v>
      </c>
      <c r="D23" s="1">
        <f>D2</f>
        <v>-5</v>
      </c>
      <c r="E23" s="5">
        <f>E2/1000</f>
        <v>0.687</v>
      </c>
      <c r="F23" s="5">
        <f>F2/1024</f>
        <v>1.09765625</v>
      </c>
      <c r="G23" s="1">
        <f>G2</f>
        <v>-13</v>
      </c>
      <c r="H23" s="5">
        <f>H2/1000</f>
        <v>2.777</v>
      </c>
      <c r="I23" s="5">
        <f>I2/1024</f>
        <v>1.142578125</v>
      </c>
      <c r="J23" s="1">
        <f>J2</f>
        <v>-24</v>
      </c>
      <c r="K23" s="5">
        <f>K2/1000</f>
        <v>18.414</v>
      </c>
      <c r="L23" s="5">
        <f>L2/1024</f>
        <v>1.31640625</v>
      </c>
      <c r="M23" s="1">
        <f>M2</f>
        <v>-19</v>
      </c>
      <c r="N23" s="5">
        <f>N2/1000</f>
        <v>33.284</v>
      </c>
      <c r="O23" s="5">
        <f>O2/1024</f>
        <v>1.654296875</v>
      </c>
      <c r="P23" s="1">
        <f>P2</f>
        <v>-32</v>
      </c>
    </row>
    <row r="24" spans="1:16">
      <c r="A24" s="1">
        <v>34</v>
      </c>
      <c r="B24" s="5">
        <f t="shared" ref="B24:B40" si="0">B3/1000</f>
        <v>0.176</v>
      </c>
      <c r="C24" s="5">
        <f t="shared" ref="C24:C40" si="1">C3/1024</f>
        <v>1.091796875</v>
      </c>
      <c r="D24" s="1">
        <f t="shared" ref="D24:D40" si="2">D3</f>
        <v>-7</v>
      </c>
      <c r="E24" s="5">
        <f t="shared" ref="E24:E40" si="3">E3/1000</f>
        <v>1.546</v>
      </c>
      <c r="F24" s="5">
        <f t="shared" ref="F24:F40" si="4">F3/1024</f>
        <v>1.107421875</v>
      </c>
      <c r="G24" s="1">
        <f t="shared" ref="G24:G40" si="5">G3</f>
        <v>-11</v>
      </c>
      <c r="H24" s="5">
        <f t="shared" ref="H24:H40" si="6">H3/1000</f>
        <v>7.206</v>
      </c>
      <c r="I24" s="5">
        <f t="shared" ref="I24:I40" si="7">I3/1024</f>
        <v>1.12890625</v>
      </c>
      <c r="J24" s="1">
        <f t="shared" ref="J24:J40" si="8">J3</f>
        <v>-20</v>
      </c>
      <c r="K24" s="5">
        <f t="shared" ref="K24:K40" si="9">K3/1000</f>
        <v>20.63</v>
      </c>
      <c r="L24" s="5">
        <f t="shared" ref="L24:L40" si="10">L3/1024</f>
        <v>1.19921875</v>
      </c>
      <c r="M24" s="1">
        <f t="shared" ref="M24:M40" si="11">M3</f>
        <v>-28</v>
      </c>
      <c r="N24" s="5">
        <f t="shared" ref="N24:N40" si="12">N3/1000</f>
        <v>66.266</v>
      </c>
      <c r="O24" s="5">
        <f t="shared" ref="O24:O40" si="13">O3/1024</f>
        <v>1.9765625</v>
      </c>
      <c r="P24" s="1">
        <f>P3</f>
        <v>-30</v>
      </c>
    </row>
    <row r="25" spans="1:16">
      <c r="A25" s="1">
        <v>36</v>
      </c>
      <c r="B25" s="5">
        <f t="shared" si="0"/>
        <v>0.633</v>
      </c>
      <c r="C25" s="5">
        <f t="shared" si="1"/>
        <v>1.103515625</v>
      </c>
      <c r="D25" s="1">
        <f t="shared" si="2"/>
        <v>-8</v>
      </c>
      <c r="E25" s="5">
        <f t="shared" si="3"/>
        <v>1.558</v>
      </c>
      <c r="F25" s="5">
        <f t="shared" si="4"/>
        <v>1.09375</v>
      </c>
      <c r="G25" s="1">
        <f t="shared" si="5"/>
        <v>-14</v>
      </c>
      <c r="H25" s="5">
        <f t="shared" si="6"/>
        <v>11.819</v>
      </c>
      <c r="I25" s="5">
        <f t="shared" si="7"/>
        <v>1.1484375</v>
      </c>
      <c r="J25" s="1">
        <f t="shared" si="8"/>
        <v>-20</v>
      </c>
      <c r="K25" s="5">
        <f t="shared" si="9"/>
        <v>46.524</v>
      </c>
      <c r="L25" s="5">
        <f t="shared" si="10"/>
        <v>1.435546875</v>
      </c>
      <c r="M25" s="1">
        <f t="shared" si="11"/>
        <v>-26</v>
      </c>
      <c r="N25" s="5">
        <f t="shared" si="12"/>
        <v>504.08</v>
      </c>
      <c r="O25" s="5">
        <f t="shared" si="13"/>
        <v>4.828125</v>
      </c>
      <c r="P25" s="1">
        <f>P4</f>
        <v>-28</v>
      </c>
    </row>
    <row r="26" spans="1:16">
      <c r="A26" s="1">
        <v>38</v>
      </c>
      <c r="B26" s="5">
        <f t="shared" si="0"/>
        <v>0.261</v>
      </c>
      <c r="C26" s="5">
        <f t="shared" si="1"/>
        <v>1.091796875</v>
      </c>
      <c r="D26" s="1">
        <f t="shared" si="2"/>
        <v>-9</v>
      </c>
      <c r="E26" s="5">
        <f t="shared" si="3"/>
        <v>2.554</v>
      </c>
      <c r="F26" s="5">
        <f t="shared" si="4"/>
        <v>1.1796875</v>
      </c>
      <c r="G26" s="1">
        <f t="shared" si="5"/>
        <v>-15</v>
      </c>
      <c r="H26" s="5">
        <f t="shared" si="6"/>
        <v>20.027</v>
      </c>
      <c r="I26" s="5">
        <f t="shared" si="7"/>
        <v>1.23046875</v>
      </c>
      <c r="J26" s="1">
        <f t="shared" si="8"/>
        <v>-23</v>
      </c>
      <c r="K26" s="5">
        <f t="shared" si="9"/>
        <v>124.33</v>
      </c>
      <c r="L26" s="5">
        <f t="shared" si="10"/>
        <v>1.654296875</v>
      </c>
      <c r="M26" s="1">
        <f t="shared" si="11"/>
        <v>-26</v>
      </c>
      <c r="N26" s="5">
        <f t="shared" si="12"/>
        <v>292.253</v>
      </c>
      <c r="O26" s="5">
        <f t="shared" si="13"/>
        <v>2.63671875</v>
      </c>
      <c r="P26" s="1">
        <f>P5</f>
        <v>-39</v>
      </c>
    </row>
    <row r="27" spans="1:16">
      <c r="A27" s="1">
        <v>40</v>
      </c>
      <c r="B27" s="5">
        <f t="shared" si="0"/>
        <v>0.834</v>
      </c>
      <c r="C27" s="5">
        <f t="shared" si="1"/>
        <v>1.1015625</v>
      </c>
      <c r="D27" s="1">
        <f t="shared" si="2"/>
        <v>-2</v>
      </c>
      <c r="E27" s="5">
        <f t="shared" si="3"/>
        <v>3.803</v>
      </c>
      <c r="F27" s="5">
        <f t="shared" si="4"/>
        <v>1.111328125</v>
      </c>
      <c r="G27" s="1">
        <f t="shared" si="5"/>
        <v>-14</v>
      </c>
      <c r="H27" s="5">
        <f t="shared" si="6"/>
        <v>27.936</v>
      </c>
      <c r="I27" s="5">
        <f t="shared" si="7"/>
        <v>1.25390625</v>
      </c>
      <c r="J27" s="1">
        <f t="shared" si="8"/>
        <v>-23</v>
      </c>
      <c r="K27" s="5">
        <f t="shared" si="9"/>
        <v>505.317</v>
      </c>
      <c r="L27" s="5">
        <f t="shared" si="10"/>
        <v>3.5390625</v>
      </c>
      <c r="M27" s="1">
        <f t="shared" si="11"/>
        <v>-30</v>
      </c>
      <c r="N27" s="5">
        <f t="shared" si="12"/>
        <v>1247.06</v>
      </c>
      <c r="O27" s="5">
        <f t="shared" si="13"/>
        <v>7.26953125</v>
      </c>
      <c r="P27" s="1">
        <f>P6</f>
        <v>-35</v>
      </c>
    </row>
    <row r="28" spans="1:16">
      <c r="A28" s="1">
        <v>42</v>
      </c>
      <c r="B28" s="5">
        <f t="shared" si="0"/>
        <v>0.916</v>
      </c>
      <c r="C28" s="5">
        <f t="shared" si="1"/>
        <v>1.09375</v>
      </c>
      <c r="D28" s="1">
        <f t="shared" si="2"/>
        <v>-7</v>
      </c>
      <c r="E28" s="5">
        <f t="shared" si="3"/>
        <v>6.866</v>
      </c>
      <c r="F28" s="5">
        <f t="shared" si="4"/>
        <v>1.138671875</v>
      </c>
      <c r="G28" s="1">
        <f t="shared" si="5"/>
        <v>-16</v>
      </c>
      <c r="H28" s="5">
        <f t="shared" si="6"/>
        <v>44.694</v>
      </c>
      <c r="I28" s="5">
        <f t="shared" si="7"/>
        <v>1.556640625</v>
      </c>
      <c r="J28" s="1">
        <f t="shared" si="8"/>
        <v>-19</v>
      </c>
      <c r="K28" s="5">
        <f t="shared" si="9"/>
        <v>375.817</v>
      </c>
      <c r="L28" s="5">
        <f t="shared" si="10"/>
        <v>1.85546875</v>
      </c>
      <c r="M28" s="1">
        <f t="shared" si="11"/>
        <v>-32</v>
      </c>
      <c r="N28" s="5">
        <f t="shared" si="12"/>
        <v>1048.492</v>
      </c>
      <c r="O28" s="5">
        <f t="shared" si="13"/>
        <v>11.603515625</v>
      </c>
      <c r="P28" s="1">
        <f>P7</f>
        <v>-30</v>
      </c>
    </row>
    <row r="29" spans="1:16">
      <c r="A29" s="1">
        <v>44</v>
      </c>
      <c r="B29" s="5">
        <f t="shared" si="0"/>
        <v>1.793</v>
      </c>
      <c r="C29" s="5">
        <f t="shared" si="1"/>
        <v>1.107421875</v>
      </c>
      <c r="D29" s="1">
        <f t="shared" si="2"/>
        <v>-6</v>
      </c>
      <c r="E29" s="5">
        <f t="shared" si="3"/>
        <v>9.744</v>
      </c>
      <c r="F29" s="5">
        <f t="shared" si="4"/>
        <v>1.138671875</v>
      </c>
      <c r="G29" s="1">
        <f t="shared" si="5"/>
        <v>-12</v>
      </c>
      <c r="H29" s="5">
        <f t="shared" si="6"/>
        <v>195.951</v>
      </c>
      <c r="I29" s="5">
        <f t="shared" si="7"/>
        <v>1.97265625</v>
      </c>
      <c r="J29" s="1">
        <f t="shared" si="8"/>
        <v>-22</v>
      </c>
      <c r="K29" s="5">
        <f t="shared" si="9"/>
        <v>336.044</v>
      </c>
      <c r="L29" s="5">
        <f t="shared" si="10"/>
        <v>6.953125</v>
      </c>
      <c r="M29" s="1">
        <f t="shared" si="11"/>
        <v>-20</v>
      </c>
      <c r="N29" s="1">
        <f t="shared" si="12"/>
        <v>0</v>
      </c>
      <c r="O29" s="1">
        <f t="shared" si="13"/>
        <v>0</v>
      </c>
      <c r="P29" s="1">
        <f t="shared" ref="P24:P40" si="14">P8/1000</f>
        <v>0</v>
      </c>
    </row>
    <row r="30" spans="1:16">
      <c r="A30" s="1">
        <v>46</v>
      </c>
      <c r="B30" s="5">
        <f t="shared" si="0"/>
        <v>3.852</v>
      </c>
      <c r="C30" s="5">
        <f t="shared" si="1"/>
        <v>1.12890625</v>
      </c>
      <c r="D30" s="1">
        <f t="shared" si="2"/>
        <v>-9</v>
      </c>
      <c r="E30" s="5">
        <f t="shared" si="3"/>
        <v>14.102</v>
      </c>
      <c r="F30" s="5">
        <f t="shared" si="4"/>
        <v>1.380859375</v>
      </c>
      <c r="G30" s="1">
        <f t="shared" si="5"/>
        <v>-16</v>
      </c>
      <c r="H30" s="5">
        <f t="shared" si="6"/>
        <v>440.951</v>
      </c>
      <c r="I30" s="5">
        <f t="shared" si="7"/>
        <v>2.37109375</v>
      </c>
      <c r="J30" s="1">
        <f t="shared" si="8"/>
        <v>-16</v>
      </c>
      <c r="K30" s="5">
        <f t="shared" si="9"/>
        <v>2530.772</v>
      </c>
      <c r="L30" s="5">
        <f t="shared" si="10"/>
        <v>7.26953125</v>
      </c>
      <c r="M30" s="1">
        <f t="shared" si="11"/>
        <v>-30</v>
      </c>
      <c r="N30" s="1">
        <f t="shared" si="12"/>
        <v>0</v>
      </c>
      <c r="O30" s="1">
        <f t="shared" si="13"/>
        <v>0</v>
      </c>
      <c r="P30" s="1">
        <f t="shared" si="14"/>
        <v>0</v>
      </c>
    </row>
    <row r="31" spans="1:16">
      <c r="A31" s="1">
        <v>48</v>
      </c>
      <c r="B31" s="5">
        <f t="shared" si="0"/>
        <v>2.337</v>
      </c>
      <c r="C31" s="5">
        <f t="shared" si="1"/>
        <v>1.09765625</v>
      </c>
      <c r="D31" s="1">
        <f t="shared" si="2"/>
        <v>-10</v>
      </c>
      <c r="E31" s="5">
        <f t="shared" si="3"/>
        <v>21.023</v>
      </c>
      <c r="F31" s="5">
        <f t="shared" si="4"/>
        <v>1.16796875</v>
      </c>
      <c r="G31" s="1">
        <f t="shared" si="5"/>
        <v>-11</v>
      </c>
      <c r="H31" s="5">
        <f t="shared" si="6"/>
        <v>184.822</v>
      </c>
      <c r="I31" s="5">
        <f t="shared" si="7"/>
        <v>1.9375</v>
      </c>
      <c r="J31" s="1">
        <f t="shared" si="8"/>
        <v>-18</v>
      </c>
      <c r="K31" s="5">
        <f t="shared" si="9"/>
        <v>1879.483</v>
      </c>
      <c r="L31" s="5">
        <f t="shared" si="10"/>
        <v>7.875</v>
      </c>
      <c r="M31" s="1">
        <f t="shared" si="11"/>
        <v>-31</v>
      </c>
      <c r="N31" s="1">
        <f t="shared" si="12"/>
        <v>0</v>
      </c>
      <c r="O31" s="1">
        <f t="shared" si="13"/>
        <v>0</v>
      </c>
      <c r="P31" s="1">
        <f t="shared" si="14"/>
        <v>0</v>
      </c>
    </row>
    <row r="32" spans="1:16">
      <c r="A32" s="1">
        <v>50</v>
      </c>
      <c r="B32" s="5">
        <f t="shared" si="0"/>
        <v>7.174</v>
      </c>
      <c r="C32" s="5">
        <f t="shared" si="1"/>
        <v>1.150390625</v>
      </c>
      <c r="D32" s="1">
        <f t="shared" si="2"/>
        <v>-6</v>
      </c>
      <c r="E32" s="5">
        <f t="shared" si="3"/>
        <v>30.298</v>
      </c>
      <c r="F32" s="5">
        <f t="shared" si="4"/>
        <v>1.19921875</v>
      </c>
      <c r="G32" s="1">
        <f t="shared" si="5"/>
        <v>-15</v>
      </c>
      <c r="H32" s="5">
        <f t="shared" si="6"/>
        <v>1147.828</v>
      </c>
      <c r="I32" s="5">
        <f t="shared" si="7"/>
        <v>2.400390625</v>
      </c>
      <c r="J32" s="1">
        <f t="shared" si="8"/>
        <v>-11</v>
      </c>
      <c r="K32" s="1">
        <f t="shared" si="9"/>
        <v>0</v>
      </c>
      <c r="L32" s="1">
        <f t="shared" si="10"/>
        <v>0</v>
      </c>
      <c r="M32" s="1">
        <f t="shared" si="11"/>
        <v>0</v>
      </c>
      <c r="N32" s="1">
        <f t="shared" si="12"/>
        <v>0</v>
      </c>
      <c r="O32" s="1">
        <f t="shared" si="13"/>
        <v>0</v>
      </c>
      <c r="P32" s="1">
        <f t="shared" si="14"/>
        <v>0</v>
      </c>
    </row>
    <row r="33" spans="1:16">
      <c r="A33" s="1">
        <v>52</v>
      </c>
      <c r="B33" s="5">
        <f t="shared" si="0"/>
        <v>12.121</v>
      </c>
      <c r="C33" s="5">
        <f t="shared" si="1"/>
        <v>1.154296875</v>
      </c>
      <c r="D33" s="1">
        <f t="shared" si="2"/>
        <v>-6</v>
      </c>
      <c r="E33" s="5">
        <f t="shared" si="3"/>
        <v>53.404</v>
      </c>
      <c r="F33" s="5">
        <f t="shared" si="4"/>
        <v>1.35546875</v>
      </c>
      <c r="G33" s="1">
        <f t="shared" si="5"/>
        <v>-12</v>
      </c>
      <c r="H33" s="5">
        <f t="shared" si="6"/>
        <v>2140.735</v>
      </c>
      <c r="I33" s="5">
        <f t="shared" si="7"/>
        <v>3.435546875</v>
      </c>
      <c r="J33" s="1">
        <f t="shared" si="8"/>
        <v>-17</v>
      </c>
      <c r="K33" s="1">
        <f t="shared" si="9"/>
        <v>0</v>
      </c>
      <c r="L33" s="1">
        <f t="shared" si="10"/>
        <v>0</v>
      </c>
      <c r="M33" s="1">
        <f t="shared" si="11"/>
        <v>0</v>
      </c>
      <c r="N33" s="1">
        <f t="shared" si="12"/>
        <v>0</v>
      </c>
      <c r="O33" s="1">
        <f t="shared" si="13"/>
        <v>0</v>
      </c>
      <c r="P33" s="1">
        <f t="shared" si="14"/>
        <v>0</v>
      </c>
    </row>
    <row r="34" spans="1:16">
      <c r="A34" s="1">
        <v>54</v>
      </c>
      <c r="B34" s="5">
        <f t="shared" si="0"/>
        <v>11.171</v>
      </c>
      <c r="C34" s="5">
        <f t="shared" si="1"/>
        <v>1.158203125</v>
      </c>
      <c r="D34" s="1">
        <f t="shared" si="2"/>
        <v>-3</v>
      </c>
      <c r="E34" s="5">
        <f t="shared" si="3"/>
        <v>209.748</v>
      </c>
      <c r="F34" s="5">
        <f t="shared" si="4"/>
        <v>1.33984375</v>
      </c>
      <c r="G34" s="1">
        <f t="shared" si="5"/>
        <v>-15</v>
      </c>
      <c r="H34" s="5">
        <f t="shared" si="6"/>
        <v>3163.708</v>
      </c>
      <c r="I34" s="5">
        <f t="shared" si="7"/>
        <v>9.482421875</v>
      </c>
      <c r="J34" s="1">
        <f t="shared" si="8"/>
        <v>-18</v>
      </c>
      <c r="K34" s="1">
        <f t="shared" si="9"/>
        <v>0</v>
      </c>
      <c r="L34" s="1">
        <f t="shared" si="10"/>
        <v>0</v>
      </c>
      <c r="M34" s="1">
        <f t="shared" si="11"/>
        <v>0</v>
      </c>
      <c r="N34" s="1">
        <f t="shared" si="12"/>
        <v>0</v>
      </c>
      <c r="O34" s="1">
        <f t="shared" si="13"/>
        <v>0</v>
      </c>
      <c r="P34" s="1">
        <f t="shared" si="14"/>
        <v>0</v>
      </c>
    </row>
    <row r="35" spans="1:16">
      <c r="A35" s="1">
        <v>56</v>
      </c>
      <c r="B35" s="5">
        <f t="shared" si="0"/>
        <v>15.729</v>
      </c>
      <c r="C35" s="5">
        <f t="shared" si="1"/>
        <v>1.150390625</v>
      </c>
      <c r="D35" s="1">
        <f t="shared" si="2"/>
        <v>-9</v>
      </c>
      <c r="E35" s="5">
        <f t="shared" si="3"/>
        <v>414.192</v>
      </c>
      <c r="F35" s="5">
        <f t="shared" si="4"/>
        <v>1.6640625</v>
      </c>
      <c r="G35" s="1">
        <f t="shared" si="5"/>
        <v>-14</v>
      </c>
      <c r="H35" s="1">
        <f t="shared" si="6"/>
        <v>0</v>
      </c>
      <c r="I35" s="1">
        <f t="shared" si="7"/>
        <v>0</v>
      </c>
      <c r="J35" s="1">
        <f t="shared" si="8"/>
        <v>0</v>
      </c>
      <c r="K35" s="1">
        <f t="shared" si="9"/>
        <v>0</v>
      </c>
      <c r="L35" s="1">
        <f t="shared" si="10"/>
        <v>0</v>
      </c>
      <c r="M35" s="1">
        <f t="shared" si="11"/>
        <v>0</v>
      </c>
      <c r="N35" s="1">
        <f t="shared" si="12"/>
        <v>0</v>
      </c>
      <c r="O35" s="1">
        <f t="shared" si="13"/>
        <v>0</v>
      </c>
      <c r="P35" s="1">
        <f t="shared" si="14"/>
        <v>0</v>
      </c>
    </row>
    <row r="36" spans="1:16">
      <c r="A36" s="1">
        <v>58</v>
      </c>
      <c r="B36" s="5">
        <f t="shared" si="0"/>
        <v>15.077</v>
      </c>
      <c r="C36" s="5">
        <f t="shared" si="1"/>
        <v>1.1796875</v>
      </c>
      <c r="D36" s="1">
        <f t="shared" si="2"/>
        <v>-8</v>
      </c>
      <c r="E36" s="5">
        <f t="shared" si="3"/>
        <v>971.456</v>
      </c>
      <c r="F36" s="5">
        <f t="shared" si="4"/>
        <v>1.345703125</v>
      </c>
      <c r="G36" s="1">
        <f t="shared" si="5"/>
        <v>-12</v>
      </c>
      <c r="H36" s="1">
        <f t="shared" si="6"/>
        <v>0</v>
      </c>
      <c r="I36" s="1">
        <f t="shared" si="7"/>
        <v>0</v>
      </c>
      <c r="J36" s="1">
        <f t="shared" si="8"/>
        <v>0</v>
      </c>
      <c r="K36" s="1">
        <f t="shared" si="9"/>
        <v>0</v>
      </c>
      <c r="L36" s="1">
        <f t="shared" si="10"/>
        <v>0</v>
      </c>
      <c r="M36" s="1">
        <f t="shared" si="11"/>
        <v>0</v>
      </c>
      <c r="N36" s="1">
        <f t="shared" si="12"/>
        <v>0</v>
      </c>
      <c r="O36" s="1">
        <f t="shared" si="13"/>
        <v>0</v>
      </c>
      <c r="P36" s="1">
        <f t="shared" si="14"/>
        <v>0</v>
      </c>
    </row>
    <row r="37" spans="1:16">
      <c r="A37" s="1">
        <v>60</v>
      </c>
      <c r="B37" s="5">
        <f t="shared" si="0"/>
        <v>26.782</v>
      </c>
      <c r="C37" s="5">
        <f t="shared" si="1"/>
        <v>1.146484375</v>
      </c>
      <c r="D37" s="1">
        <f t="shared" si="2"/>
        <v>-8</v>
      </c>
      <c r="E37" s="5">
        <f t="shared" si="3"/>
        <v>631.162</v>
      </c>
      <c r="F37" s="5">
        <f t="shared" si="4"/>
        <v>1.40234375</v>
      </c>
      <c r="G37" s="1">
        <f t="shared" si="5"/>
        <v>-14</v>
      </c>
      <c r="H37" s="1">
        <f t="shared" si="6"/>
        <v>0</v>
      </c>
      <c r="I37" s="1">
        <f t="shared" si="7"/>
        <v>0</v>
      </c>
      <c r="J37" s="1">
        <f t="shared" si="8"/>
        <v>0</v>
      </c>
      <c r="K37" s="1">
        <f t="shared" si="9"/>
        <v>0</v>
      </c>
      <c r="L37" s="1">
        <f t="shared" si="10"/>
        <v>0</v>
      </c>
      <c r="M37" s="1">
        <f t="shared" si="11"/>
        <v>0</v>
      </c>
      <c r="N37" s="1">
        <f t="shared" si="12"/>
        <v>0</v>
      </c>
      <c r="O37" s="1">
        <f t="shared" si="13"/>
        <v>0</v>
      </c>
      <c r="P37" s="1">
        <f t="shared" si="14"/>
        <v>0</v>
      </c>
    </row>
    <row r="38" spans="1:16">
      <c r="A38" s="1">
        <v>62</v>
      </c>
      <c r="B38" s="5">
        <f t="shared" si="0"/>
        <v>27.245</v>
      </c>
      <c r="C38" s="5">
        <f t="shared" si="1"/>
        <v>1.216796875</v>
      </c>
      <c r="D38" s="1">
        <f t="shared" si="2"/>
        <v>-7</v>
      </c>
      <c r="E38" s="5">
        <f t="shared" si="3"/>
        <v>960.428</v>
      </c>
      <c r="F38" s="5">
        <f t="shared" si="4"/>
        <v>2.15234375</v>
      </c>
      <c r="G38" s="1">
        <f t="shared" si="5"/>
        <v>-9</v>
      </c>
      <c r="H38" s="1">
        <f t="shared" si="6"/>
        <v>0</v>
      </c>
      <c r="I38" s="1">
        <f t="shared" si="7"/>
        <v>0</v>
      </c>
      <c r="J38" s="1">
        <f t="shared" si="8"/>
        <v>0</v>
      </c>
      <c r="K38" s="1">
        <f t="shared" si="9"/>
        <v>0</v>
      </c>
      <c r="L38" s="1">
        <f t="shared" si="10"/>
        <v>0</v>
      </c>
      <c r="M38" s="1">
        <f t="shared" si="11"/>
        <v>0</v>
      </c>
      <c r="N38" s="1">
        <f t="shared" si="12"/>
        <v>0</v>
      </c>
      <c r="O38" s="1">
        <f t="shared" si="13"/>
        <v>0</v>
      </c>
      <c r="P38" s="1">
        <f t="shared" si="14"/>
        <v>0</v>
      </c>
    </row>
    <row r="39" spans="1:16">
      <c r="A39" s="1">
        <v>64</v>
      </c>
      <c r="B39" s="5">
        <f t="shared" si="0"/>
        <v>32.58</v>
      </c>
      <c r="C39" s="5">
        <f t="shared" si="1"/>
        <v>1.232421875</v>
      </c>
      <c r="D39" s="1">
        <f t="shared" si="2"/>
        <v>-11</v>
      </c>
      <c r="E39" s="5">
        <f t="shared" si="3"/>
        <v>4183.917</v>
      </c>
      <c r="F39" s="5">
        <f t="shared" si="4"/>
        <v>1.791015625</v>
      </c>
      <c r="G39" s="1">
        <f t="shared" si="5"/>
        <v>-11</v>
      </c>
      <c r="H39" s="1">
        <f t="shared" si="6"/>
        <v>0</v>
      </c>
      <c r="I39" s="1">
        <f t="shared" si="7"/>
        <v>0</v>
      </c>
      <c r="J39" s="1">
        <f t="shared" si="8"/>
        <v>0</v>
      </c>
      <c r="K39" s="1">
        <f t="shared" si="9"/>
        <v>0</v>
      </c>
      <c r="L39" s="1">
        <f t="shared" si="10"/>
        <v>0</v>
      </c>
      <c r="M39" s="1">
        <f t="shared" si="11"/>
        <v>0</v>
      </c>
      <c r="N39" s="1">
        <f t="shared" si="12"/>
        <v>0</v>
      </c>
      <c r="O39" s="1">
        <f t="shared" si="13"/>
        <v>0</v>
      </c>
      <c r="P39" s="1">
        <f t="shared" si="14"/>
        <v>0</v>
      </c>
    </row>
    <row r="40" spans="2:1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10">
    <mergeCell ref="B1:D1"/>
    <mergeCell ref="E1:G1"/>
    <mergeCell ref="H1:J1"/>
    <mergeCell ref="K1:M1"/>
    <mergeCell ref="N1:P1"/>
    <mergeCell ref="B22:D22"/>
    <mergeCell ref="E22:G22"/>
    <mergeCell ref="H22:J22"/>
    <mergeCell ref="K22:M22"/>
    <mergeCell ref="N22:P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zoomScale="85" zoomScaleNormal="85" workbookViewId="0">
      <selection activeCell="J27" sqref="J27"/>
    </sheetView>
  </sheetViews>
  <sheetFormatPr defaultColWidth="9" defaultRowHeight="13.5"/>
  <cols>
    <col min="3" max="3" width="12.625"/>
    <col min="5" max="5" width="9.375"/>
    <col min="6" max="6" width="6.375" customWidth="1"/>
    <col min="7" max="7" width="5.125" customWidth="1"/>
    <col min="8" max="8" width="9.375"/>
    <col min="11" max="11" width="9.375"/>
    <col min="14" max="14" width="9.375"/>
  </cols>
  <sheetData>
    <row r="1" spans="1:16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  <c r="N1" s="1" t="s">
        <v>5</v>
      </c>
      <c r="O1" s="1"/>
      <c r="P1" s="1"/>
    </row>
    <row r="2" spans="1:16">
      <c r="A2" s="1">
        <v>32</v>
      </c>
      <c r="B2" s="1">
        <v>2164</v>
      </c>
      <c r="C2" s="1">
        <v>1120</v>
      </c>
      <c r="D2" s="1">
        <v>-4</v>
      </c>
      <c r="E2" s="1">
        <v>260</v>
      </c>
      <c r="F2" s="1">
        <v>1124</v>
      </c>
      <c r="G2" s="1">
        <v>-12</v>
      </c>
      <c r="H2" s="1">
        <v>586</v>
      </c>
      <c r="I2" s="1">
        <v>2850</v>
      </c>
      <c r="J2" s="1">
        <v>-22</v>
      </c>
      <c r="K2" s="1">
        <v>4288</v>
      </c>
      <c r="L2" s="2">
        <v>5158</v>
      </c>
      <c r="M2" s="2">
        <v>-31</v>
      </c>
      <c r="N2" s="1">
        <v>6859</v>
      </c>
      <c r="O2" s="1">
        <v>2700</v>
      </c>
      <c r="P2" s="1">
        <v>-38</v>
      </c>
    </row>
    <row r="3" spans="1:16">
      <c r="A3" s="1">
        <v>34</v>
      </c>
      <c r="B3" s="1">
        <v>182</v>
      </c>
      <c r="C3" s="1">
        <v>1120</v>
      </c>
      <c r="D3" s="1">
        <v>-9</v>
      </c>
      <c r="E3" s="1">
        <v>464</v>
      </c>
      <c r="F3" s="1">
        <v>1148</v>
      </c>
      <c r="G3" s="1">
        <v>-10</v>
      </c>
      <c r="H3" s="1">
        <v>4522</v>
      </c>
      <c r="I3" s="1">
        <v>8580</v>
      </c>
      <c r="J3" s="1">
        <v>-23</v>
      </c>
      <c r="K3" s="1">
        <v>3798</v>
      </c>
      <c r="L3" s="1">
        <v>2726</v>
      </c>
      <c r="M3" s="1">
        <v>-36</v>
      </c>
      <c r="N3" s="1">
        <v>31430</v>
      </c>
      <c r="O3" s="1">
        <v>20518</v>
      </c>
      <c r="P3" s="1">
        <v>-42</v>
      </c>
    </row>
    <row r="4" spans="1:16">
      <c r="A4" s="1">
        <v>36</v>
      </c>
      <c r="B4" s="1">
        <v>321</v>
      </c>
      <c r="C4" s="1">
        <v>1124</v>
      </c>
      <c r="D4" s="1">
        <v>-7</v>
      </c>
      <c r="E4" s="1">
        <v>943</v>
      </c>
      <c r="F4" s="1">
        <v>1456</v>
      </c>
      <c r="G4" s="1">
        <v>-15</v>
      </c>
      <c r="H4" s="1">
        <v>2885</v>
      </c>
      <c r="I4" s="1">
        <v>2744</v>
      </c>
      <c r="J4" s="1">
        <v>-24</v>
      </c>
      <c r="K4" s="1">
        <v>12603</v>
      </c>
      <c r="L4" s="1">
        <v>11672</v>
      </c>
      <c r="M4" s="1">
        <v>-35</v>
      </c>
      <c r="N4" s="1" t="s">
        <v>6</v>
      </c>
      <c r="O4" s="1" t="s">
        <v>6</v>
      </c>
      <c r="P4" s="1" t="s">
        <v>6</v>
      </c>
    </row>
    <row r="5" spans="1:16">
      <c r="A5" s="1">
        <v>38</v>
      </c>
      <c r="B5" s="1">
        <v>394</v>
      </c>
      <c r="C5" s="1">
        <v>1124</v>
      </c>
      <c r="D5" s="1">
        <v>-6</v>
      </c>
      <c r="E5" s="1">
        <v>1778</v>
      </c>
      <c r="F5" s="1">
        <v>2244</v>
      </c>
      <c r="G5" s="1">
        <v>-16</v>
      </c>
      <c r="H5" s="1">
        <v>4451</v>
      </c>
      <c r="I5" s="1">
        <v>4948</v>
      </c>
      <c r="J5" s="1">
        <v>-26</v>
      </c>
      <c r="K5" s="1">
        <v>22806</v>
      </c>
      <c r="L5" s="1">
        <v>13176</v>
      </c>
      <c r="M5" s="1">
        <v>-39</v>
      </c>
      <c r="N5" s="1">
        <v>111519</v>
      </c>
      <c r="O5" s="1">
        <v>37374</v>
      </c>
      <c r="P5" s="1">
        <v>-39</v>
      </c>
    </row>
    <row r="6" spans="1:16">
      <c r="A6" s="1">
        <v>40</v>
      </c>
      <c r="B6" s="1">
        <v>460</v>
      </c>
      <c r="C6" s="1">
        <v>1122</v>
      </c>
      <c r="D6" s="1">
        <v>-4</v>
      </c>
      <c r="E6" s="1">
        <v>2194</v>
      </c>
      <c r="F6" s="1">
        <v>1266</v>
      </c>
      <c r="G6" s="1">
        <v>-15</v>
      </c>
      <c r="H6" s="1">
        <v>7381</v>
      </c>
      <c r="I6" s="1">
        <v>3518</v>
      </c>
      <c r="J6" s="1">
        <v>-27</v>
      </c>
      <c r="K6" s="1">
        <v>50791</v>
      </c>
      <c r="L6" s="1">
        <v>47660</v>
      </c>
      <c r="M6" s="1">
        <v>-34</v>
      </c>
      <c r="N6" s="1"/>
      <c r="O6" s="1"/>
      <c r="P6" s="1"/>
    </row>
    <row r="7" spans="1:16">
      <c r="A7" s="1">
        <v>42</v>
      </c>
      <c r="B7" s="1">
        <v>752</v>
      </c>
      <c r="C7" s="1">
        <v>1174</v>
      </c>
      <c r="D7" s="1">
        <v>-8</v>
      </c>
      <c r="E7" s="1">
        <v>2774</v>
      </c>
      <c r="F7" s="1">
        <v>1372</v>
      </c>
      <c r="G7" s="1">
        <v>-14</v>
      </c>
      <c r="H7" s="1">
        <v>8459</v>
      </c>
      <c r="I7" s="1">
        <v>6679</v>
      </c>
      <c r="J7" s="1">
        <v>-22</v>
      </c>
      <c r="K7" s="1" t="s">
        <v>6</v>
      </c>
      <c r="L7" s="1" t="s">
        <v>6</v>
      </c>
      <c r="M7" s="1" t="s">
        <v>6</v>
      </c>
      <c r="N7" s="1"/>
      <c r="O7" s="1"/>
      <c r="P7" s="1"/>
    </row>
    <row r="8" spans="1:16">
      <c r="A8" s="1">
        <v>44</v>
      </c>
      <c r="B8" s="1">
        <v>1372</v>
      </c>
      <c r="C8" s="1">
        <v>1410</v>
      </c>
      <c r="D8" s="1">
        <v>-8</v>
      </c>
      <c r="E8" s="1">
        <v>5369</v>
      </c>
      <c r="F8" s="1">
        <v>1986</v>
      </c>
      <c r="G8" s="1">
        <v>-8</v>
      </c>
      <c r="H8" s="1">
        <v>36953</v>
      </c>
      <c r="I8" s="1">
        <v>10202</v>
      </c>
      <c r="J8" s="1">
        <v>-27</v>
      </c>
      <c r="K8" s="1">
        <v>104176</v>
      </c>
      <c r="L8" s="1">
        <v>29552</v>
      </c>
      <c r="M8" s="1">
        <v>-31</v>
      </c>
      <c r="N8" s="1"/>
      <c r="O8" s="1"/>
      <c r="P8" s="1"/>
    </row>
    <row r="9" spans="1:16">
      <c r="A9" s="1">
        <v>46</v>
      </c>
      <c r="B9" s="1">
        <v>1675</v>
      </c>
      <c r="C9" s="1">
        <v>1380</v>
      </c>
      <c r="D9" s="1">
        <v>-8</v>
      </c>
      <c r="E9" s="1">
        <v>6638</v>
      </c>
      <c r="F9" s="1">
        <v>2842</v>
      </c>
      <c r="G9" s="1">
        <v>-15</v>
      </c>
      <c r="H9" s="1">
        <v>97583</v>
      </c>
      <c r="I9" s="1">
        <v>19994</v>
      </c>
      <c r="J9" s="1">
        <v>-25</v>
      </c>
      <c r="K9" s="1"/>
      <c r="L9" s="1"/>
      <c r="M9" s="1"/>
      <c r="N9" s="1"/>
      <c r="O9" s="1"/>
      <c r="P9" s="1"/>
    </row>
    <row r="10" spans="1:16">
      <c r="A10" s="1">
        <v>48</v>
      </c>
      <c r="B10" s="1">
        <v>2505</v>
      </c>
      <c r="C10" s="1">
        <v>1452</v>
      </c>
      <c r="D10" s="1">
        <v>-10</v>
      </c>
      <c r="E10" s="1">
        <v>11004</v>
      </c>
      <c r="F10" s="1">
        <v>3897</v>
      </c>
      <c r="G10" s="1">
        <v>-15</v>
      </c>
      <c r="H10" s="1">
        <v>286390</v>
      </c>
      <c r="I10" s="1">
        <v>31390</v>
      </c>
      <c r="J10" s="1">
        <v>-18</v>
      </c>
      <c r="K10" s="1"/>
      <c r="L10" s="1"/>
      <c r="M10" s="1"/>
      <c r="N10" s="1"/>
      <c r="O10" s="1"/>
      <c r="P10" s="1"/>
    </row>
    <row r="11" spans="1:16">
      <c r="A11" s="1">
        <v>50</v>
      </c>
      <c r="B11" s="1">
        <v>2598</v>
      </c>
      <c r="C11" s="1">
        <v>1548</v>
      </c>
      <c r="D11" s="1">
        <v>-5</v>
      </c>
      <c r="E11" s="1">
        <v>14271</v>
      </c>
      <c r="F11" s="1">
        <v>5580</v>
      </c>
      <c r="G11" s="1">
        <v>-13</v>
      </c>
      <c r="H11" s="1">
        <v>189374</v>
      </c>
      <c r="I11" s="1">
        <v>36485</v>
      </c>
      <c r="J11" s="1">
        <v>-19</v>
      </c>
      <c r="K11" s="1"/>
      <c r="L11" s="1"/>
      <c r="M11" s="1"/>
      <c r="N11" s="1"/>
      <c r="O11" s="1"/>
      <c r="P11" s="1"/>
    </row>
    <row r="12" spans="1:16">
      <c r="A12" s="1">
        <v>52</v>
      </c>
      <c r="B12" s="1">
        <v>2934</v>
      </c>
      <c r="C12" s="1">
        <v>1548</v>
      </c>
      <c r="D12" s="1">
        <v>-6</v>
      </c>
      <c r="E12" s="1">
        <v>41375</v>
      </c>
      <c r="F12" s="1">
        <v>17141</v>
      </c>
      <c r="G12" s="1">
        <v>-9</v>
      </c>
      <c r="I12" s="1"/>
      <c r="J12" s="1"/>
      <c r="K12" s="1"/>
      <c r="L12" s="1"/>
      <c r="M12" s="1"/>
      <c r="N12" s="1"/>
      <c r="O12" s="1"/>
      <c r="P12" s="1"/>
    </row>
    <row r="13" spans="1:16">
      <c r="A13" s="1">
        <v>54</v>
      </c>
      <c r="B13" s="1">
        <v>4687</v>
      </c>
      <c r="C13" s="1">
        <v>2140</v>
      </c>
      <c r="D13" s="1">
        <v>-5</v>
      </c>
      <c r="E13" s="1">
        <v>43208</v>
      </c>
      <c r="F13" s="1">
        <v>6934</v>
      </c>
      <c r="G13" s="1">
        <v>-18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56</v>
      </c>
      <c r="B14" s="1">
        <v>4716</v>
      </c>
      <c r="C14" s="1">
        <v>1174</v>
      </c>
      <c r="D14" s="1">
        <v>-9</v>
      </c>
      <c r="E14" s="1">
        <v>104458</v>
      </c>
      <c r="F14" s="1">
        <v>13748</v>
      </c>
      <c r="G14" s="1">
        <v>-13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58</v>
      </c>
      <c r="B15" s="1">
        <v>5799</v>
      </c>
      <c r="C15" s="1">
        <v>2202</v>
      </c>
      <c r="D15" s="2">
        <v>-10</v>
      </c>
      <c r="E15" s="2">
        <v>44609</v>
      </c>
      <c r="F15" s="2">
        <v>18918</v>
      </c>
      <c r="G15" s="2">
        <v>-16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60</v>
      </c>
      <c r="B16" s="1">
        <v>17157</v>
      </c>
      <c r="C16" s="1">
        <v>6552</v>
      </c>
      <c r="D16" s="1">
        <v>-7</v>
      </c>
      <c r="E16" s="4" t="s">
        <v>6</v>
      </c>
      <c r="F16" s="4" t="s">
        <v>6</v>
      </c>
      <c r="G16" s="4" t="s">
        <v>6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>
        <v>62</v>
      </c>
      <c r="B17" s="1">
        <v>9274</v>
      </c>
      <c r="C17" s="1">
        <v>1654</v>
      </c>
      <c r="D17" s="1">
        <v>-3</v>
      </c>
      <c r="E17" s="4" t="s">
        <v>6</v>
      </c>
      <c r="F17" s="4" t="s">
        <v>6</v>
      </c>
      <c r="G17" s="4" t="s">
        <v>6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>
        <v>64</v>
      </c>
      <c r="B18" s="1">
        <v>11394</v>
      </c>
      <c r="C18" s="1">
        <v>2004</v>
      </c>
      <c r="D18" s="1">
        <v>-7</v>
      </c>
      <c r="E18" s="1">
        <v>137537</v>
      </c>
      <c r="F18" s="1">
        <v>38515</v>
      </c>
      <c r="G18" s="1">
        <v>-13</v>
      </c>
      <c r="H18" s="1"/>
      <c r="I18" s="1"/>
      <c r="J18" s="1"/>
      <c r="K18" s="1"/>
      <c r="L18" s="1"/>
      <c r="M18" s="1"/>
      <c r="N18" s="1"/>
      <c r="O18" s="1"/>
      <c r="P18" s="1"/>
    </row>
    <row r="21" spans="1:16">
      <c r="A21" s="1" t="s">
        <v>0</v>
      </c>
      <c r="B21" s="1" t="s">
        <v>1</v>
      </c>
      <c r="C21" s="1"/>
      <c r="D21" s="1"/>
      <c r="E21" s="1" t="s">
        <v>2</v>
      </c>
      <c r="F21" s="1"/>
      <c r="G21" s="1"/>
      <c r="H21" s="1" t="s">
        <v>3</v>
      </c>
      <c r="I21" s="1"/>
      <c r="J21" s="1"/>
      <c r="K21" s="1" t="s">
        <v>4</v>
      </c>
      <c r="L21" s="1"/>
      <c r="M21" s="1"/>
      <c r="N21" s="1" t="s">
        <v>5</v>
      </c>
      <c r="O21" s="1"/>
      <c r="P21" s="1"/>
    </row>
    <row r="22" spans="1:16">
      <c r="A22" s="1">
        <v>32</v>
      </c>
      <c r="B22" s="3">
        <f>B2/1000</f>
        <v>2.164</v>
      </c>
      <c r="C22" s="3">
        <f>C2/1024</f>
        <v>1.09375</v>
      </c>
      <c r="D22" s="1">
        <v>-4</v>
      </c>
      <c r="E22" s="3">
        <f t="shared" ref="E22:E38" si="0">E2/1000</f>
        <v>0.26</v>
      </c>
      <c r="F22" s="5">
        <f t="shared" ref="F22:F38" si="1">F2/1024</f>
        <v>1.09765625</v>
      </c>
      <c r="G22" s="1">
        <v>-12</v>
      </c>
      <c r="H22" s="3">
        <f t="shared" ref="H22:H38" si="2">H2/1000</f>
        <v>0.586</v>
      </c>
      <c r="I22" s="3">
        <f t="shared" ref="I22:I38" si="3">I2/1024</f>
        <v>2.783203125</v>
      </c>
      <c r="J22" s="1">
        <v>-22</v>
      </c>
      <c r="K22" s="3">
        <f t="shared" ref="K22:K28" si="4">K2/1000</f>
        <v>4.288</v>
      </c>
      <c r="L22" s="3">
        <f t="shared" ref="L22:L28" si="5">L2/1024</f>
        <v>5.037109375</v>
      </c>
      <c r="M22" s="2">
        <v>-31</v>
      </c>
      <c r="N22" s="3">
        <f>N2/1000</f>
        <v>6.859</v>
      </c>
      <c r="O22" s="3">
        <f>O2/1024</f>
        <v>2.63671875</v>
      </c>
      <c r="P22" s="1">
        <v>-38</v>
      </c>
    </row>
    <row r="23" spans="1:16">
      <c r="A23" s="1">
        <v>34</v>
      </c>
      <c r="B23" s="3">
        <f t="shared" ref="B23:B38" si="6">B3/1000</f>
        <v>0.182</v>
      </c>
      <c r="C23" s="3">
        <f t="shared" ref="C23:C38" si="7">C3/1024</f>
        <v>1.09375</v>
      </c>
      <c r="D23" s="1">
        <v>-9</v>
      </c>
      <c r="E23" s="3">
        <f t="shared" si="0"/>
        <v>0.464</v>
      </c>
      <c r="F23" s="5">
        <f t="shared" si="1"/>
        <v>1.12109375</v>
      </c>
      <c r="G23" s="1">
        <v>-10</v>
      </c>
      <c r="H23" s="3">
        <f t="shared" si="2"/>
        <v>4.522</v>
      </c>
      <c r="I23" s="3">
        <f t="shared" si="3"/>
        <v>8.37890625</v>
      </c>
      <c r="J23" s="1">
        <v>-23</v>
      </c>
      <c r="K23" s="3">
        <f t="shared" si="4"/>
        <v>3.798</v>
      </c>
      <c r="L23" s="3">
        <f t="shared" si="5"/>
        <v>2.662109375</v>
      </c>
      <c r="M23" s="1">
        <v>-36</v>
      </c>
      <c r="N23" s="3">
        <f>N3/1000</f>
        <v>31.43</v>
      </c>
      <c r="O23" s="3">
        <f>O3/1024</f>
        <v>20.037109375</v>
      </c>
      <c r="P23" s="1">
        <v>-42</v>
      </c>
    </row>
    <row r="24" spans="1:16">
      <c r="A24" s="1">
        <v>36</v>
      </c>
      <c r="B24" s="3">
        <f t="shared" si="6"/>
        <v>0.321</v>
      </c>
      <c r="C24" s="3">
        <f t="shared" si="7"/>
        <v>1.09765625</v>
      </c>
      <c r="D24" s="1">
        <v>-7</v>
      </c>
      <c r="E24" s="3">
        <f t="shared" si="0"/>
        <v>0.943</v>
      </c>
      <c r="F24" s="5">
        <f t="shared" si="1"/>
        <v>1.421875</v>
      </c>
      <c r="G24" s="1">
        <v>-15</v>
      </c>
      <c r="H24" s="3">
        <f t="shared" si="2"/>
        <v>2.885</v>
      </c>
      <c r="I24" s="3">
        <f t="shared" si="3"/>
        <v>2.6796875</v>
      </c>
      <c r="J24" s="1">
        <v>-24</v>
      </c>
      <c r="K24" s="3">
        <f t="shared" si="4"/>
        <v>12.603</v>
      </c>
      <c r="L24" s="3">
        <f t="shared" si="5"/>
        <v>11.3984375</v>
      </c>
      <c r="M24" s="1">
        <v>-35</v>
      </c>
      <c r="N24" s="6" t="s">
        <v>6</v>
      </c>
      <c r="O24" s="6" t="s">
        <v>6</v>
      </c>
      <c r="P24" s="4" t="s">
        <v>6</v>
      </c>
    </row>
    <row r="25" spans="1:16">
      <c r="A25" s="1">
        <v>38</v>
      </c>
      <c r="B25" s="3">
        <f t="shared" si="6"/>
        <v>0.394</v>
      </c>
      <c r="C25" s="3">
        <f t="shared" si="7"/>
        <v>1.09765625</v>
      </c>
      <c r="D25" s="1">
        <v>-6</v>
      </c>
      <c r="E25" s="3">
        <f t="shared" si="0"/>
        <v>1.778</v>
      </c>
      <c r="F25" s="3">
        <f t="shared" si="1"/>
        <v>2.19140625</v>
      </c>
      <c r="G25" s="1">
        <v>-16</v>
      </c>
      <c r="H25" s="3">
        <f t="shared" si="2"/>
        <v>4.451</v>
      </c>
      <c r="I25" s="3">
        <f t="shared" si="3"/>
        <v>4.83203125</v>
      </c>
      <c r="J25" s="1">
        <v>-26</v>
      </c>
      <c r="K25" s="3">
        <f t="shared" si="4"/>
        <v>22.806</v>
      </c>
      <c r="L25" s="3">
        <f t="shared" si="5"/>
        <v>12.8671875</v>
      </c>
      <c r="M25" s="1">
        <v>-39</v>
      </c>
      <c r="N25" s="3">
        <f>N5/1000</f>
        <v>111.519</v>
      </c>
      <c r="O25" s="3">
        <f>O5/1024</f>
        <v>36.498046875</v>
      </c>
      <c r="P25" s="1">
        <v>-39</v>
      </c>
    </row>
    <row r="26" spans="1:16">
      <c r="A26" s="1">
        <v>40</v>
      </c>
      <c r="B26" s="3">
        <f t="shared" si="6"/>
        <v>0.46</v>
      </c>
      <c r="C26" s="3">
        <f t="shared" si="7"/>
        <v>1.095703125</v>
      </c>
      <c r="D26" s="1">
        <v>-4</v>
      </c>
      <c r="E26" s="3">
        <f t="shared" si="0"/>
        <v>2.194</v>
      </c>
      <c r="F26" s="3">
        <f t="shared" si="1"/>
        <v>1.236328125</v>
      </c>
      <c r="G26" s="1">
        <v>-15</v>
      </c>
      <c r="H26" s="3">
        <f t="shared" si="2"/>
        <v>7.381</v>
      </c>
      <c r="I26" s="3">
        <f t="shared" si="3"/>
        <v>3.435546875</v>
      </c>
      <c r="J26" s="1">
        <v>-27</v>
      </c>
      <c r="K26" s="3">
        <f t="shared" si="4"/>
        <v>50.791</v>
      </c>
      <c r="L26" s="3">
        <f t="shared" si="5"/>
        <v>46.54296875</v>
      </c>
      <c r="M26" s="1">
        <v>-34</v>
      </c>
      <c r="N26" s="1"/>
      <c r="O26" s="1"/>
      <c r="P26" s="1"/>
    </row>
    <row r="27" spans="1:16">
      <c r="A27" s="1">
        <v>42</v>
      </c>
      <c r="B27" s="3">
        <f t="shared" si="6"/>
        <v>0.752</v>
      </c>
      <c r="C27" s="3">
        <f t="shared" si="7"/>
        <v>1.146484375</v>
      </c>
      <c r="D27" s="1">
        <v>-8</v>
      </c>
      <c r="E27" s="3">
        <f t="shared" si="0"/>
        <v>2.774</v>
      </c>
      <c r="F27" s="3">
        <f t="shared" si="1"/>
        <v>1.33984375</v>
      </c>
      <c r="G27" s="1">
        <v>-14</v>
      </c>
      <c r="H27" s="3">
        <f t="shared" si="2"/>
        <v>8.459</v>
      </c>
      <c r="I27" s="3">
        <f t="shared" si="3"/>
        <v>6.5224609375</v>
      </c>
      <c r="J27" s="1">
        <v>-22</v>
      </c>
      <c r="K27" s="3" t="e">
        <f t="shared" si="4"/>
        <v>#VALUE!</v>
      </c>
      <c r="L27" s="3" t="e">
        <f t="shared" si="5"/>
        <v>#VALUE!</v>
      </c>
      <c r="M27" s="1" t="s">
        <v>6</v>
      </c>
      <c r="N27" s="1"/>
      <c r="O27" s="1"/>
      <c r="P27" s="1"/>
    </row>
    <row r="28" spans="1:16">
      <c r="A28" s="1">
        <v>44</v>
      </c>
      <c r="B28" s="3">
        <f t="shared" si="6"/>
        <v>1.372</v>
      </c>
      <c r="C28" s="3">
        <f t="shared" si="7"/>
        <v>1.376953125</v>
      </c>
      <c r="D28" s="1">
        <v>-8</v>
      </c>
      <c r="E28" s="3">
        <f t="shared" si="0"/>
        <v>5.369</v>
      </c>
      <c r="F28" s="3">
        <f t="shared" si="1"/>
        <v>1.939453125</v>
      </c>
      <c r="G28" s="1">
        <v>-8</v>
      </c>
      <c r="H28" s="3">
        <f t="shared" si="2"/>
        <v>36.953</v>
      </c>
      <c r="I28" s="3">
        <f t="shared" si="3"/>
        <v>9.962890625</v>
      </c>
      <c r="J28" s="1">
        <v>-27</v>
      </c>
      <c r="K28" s="3">
        <f t="shared" si="4"/>
        <v>104.176</v>
      </c>
      <c r="L28" s="3">
        <f t="shared" si="5"/>
        <v>28.859375</v>
      </c>
      <c r="M28" s="1">
        <v>-31</v>
      </c>
      <c r="N28" s="1"/>
      <c r="O28" s="1"/>
      <c r="P28" s="1"/>
    </row>
    <row r="29" spans="1:16">
      <c r="A29" s="1">
        <v>46</v>
      </c>
      <c r="B29" s="3">
        <f t="shared" si="6"/>
        <v>1.675</v>
      </c>
      <c r="C29" s="3">
        <f t="shared" si="7"/>
        <v>1.34765625</v>
      </c>
      <c r="D29" s="1">
        <v>-8</v>
      </c>
      <c r="E29" s="3">
        <f t="shared" si="0"/>
        <v>6.638</v>
      </c>
      <c r="F29" s="3">
        <f t="shared" si="1"/>
        <v>2.775390625</v>
      </c>
      <c r="G29" s="1">
        <v>-15</v>
      </c>
      <c r="H29" s="3">
        <f t="shared" si="2"/>
        <v>97.583</v>
      </c>
      <c r="I29" s="3">
        <f t="shared" si="3"/>
        <v>19.525390625</v>
      </c>
      <c r="J29" s="1">
        <v>-25</v>
      </c>
      <c r="K29" s="1"/>
      <c r="L29" s="1"/>
      <c r="M29" s="1"/>
      <c r="N29" s="1"/>
      <c r="O29" s="1"/>
      <c r="P29" s="1"/>
    </row>
    <row r="30" spans="1:16">
      <c r="A30" s="1">
        <v>48</v>
      </c>
      <c r="B30" s="3">
        <f t="shared" si="6"/>
        <v>2.505</v>
      </c>
      <c r="C30" s="3">
        <f t="shared" si="7"/>
        <v>1.41796875</v>
      </c>
      <c r="D30" s="1">
        <v>-10</v>
      </c>
      <c r="E30" s="3">
        <f t="shared" si="0"/>
        <v>11.004</v>
      </c>
      <c r="F30" s="3">
        <f t="shared" si="1"/>
        <v>3.8056640625</v>
      </c>
      <c r="G30" s="1">
        <v>-15</v>
      </c>
      <c r="H30" s="3">
        <f t="shared" si="2"/>
        <v>286.39</v>
      </c>
      <c r="I30" s="3">
        <f t="shared" si="3"/>
        <v>30.654296875</v>
      </c>
      <c r="J30" s="1">
        <v>-18</v>
      </c>
      <c r="K30" s="1"/>
      <c r="L30" s="1"/>
      <c r="M30" s="1"/>
      <c r="N30" s="1"/>
      <c r="O30" s="1"/>
      <c r="P30" s="1"/>
    </row>
    <row r="31" spans="1:16">
      <c r="A31" s="1">
        <v>50</v>
      </c>
      <c r="B31" s="3">
        <f t="shared" si="6"/>
        <v>2.598</v>
      </c>
      <c r="C31" s="3">
        <f t="shared" si="7"/>
        <v>1.51171875</v>
      </c>
      <c r="D31" s="1">
        <v>-5</v>
      </c>
      <c r="E31" s="3">
        <f t="shared" si="0"/>
        <v>14.271</v>
      </c>
      <c r="F31" s="3">
        <f t="shared" si="1"/>
        <v>5.44921875</v>
      </c>
      <c r="G31" s="1">
        <v>-13</v>
      </c>
      <c r="H31" s="3">
        <f t="shared" si="2"/>
        <v>189.374</v>
      </c>
      <c r="I31" s="3">
        <f t="shared" si="3"/>
        <v>35.6298828125</v>
      </c>
      <c r="J31" s="1">
        <v>-19</v>
      </c>
      <c r="K31" s="1"/>
      <c r="L31" s="1"/>
      <c r="M31" s="1"/>
      <c r="N31" s="1"/>
      <c r="O31" s="1"/>
      <c r="P31" s="1"/>
    </row>
    <row r="32" spans="1:16">
      <c r="A32" s="1">
        <v>52</v>
      </c>
      <c r="B32" s="3">
        <f t="shared" si="6"/>
        <v>2.934</v>
      </c>
      <c r="C32" s="3">
        <f t="shared" si="7"/>
        <v>1.51171875</v>
      </c>
      <c r="D32" s="1">
        <v>-6</v>
      </c>
      <c r="E32" s="3">
        <f t="shared" si="0"/>
        <v>41.375</v>
      </c>
      <c r="F32" s="3">
        <f t="shared" si="1"/>
        <v>16.7392578125</v>
      </c>
      <c r="G32" s="1">
        <v>-9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>
        <v>54</v>
      </c>
      <c r="B33" s="3">
        <f t="shared" si="6"/>
        <v>4.687</v>
      </c>
      <c r="C33" s="3">
        <f t="shared" si="7"/>
        <v>2.08984375</v>
      </c>
      <c r="D33" s="1">
        <v>-5</v>
      </c>
      <c r="E33" s="3">
        <f t="shared" si="0"/>
        <v>43.208</v>
      </c>
      <c r="F33" s="3">
        <f t="shared" si="1"/>
        <v>6.771484375</v>
      </c>
      <c r="G33" s="1">
        <v>-18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>
        <v>56</v>
      </c>
      <c r="B34" s="3">
        <f t="shared" si="6"/>
        <v>4.716</v>
      </c>
      <c r="C34" s="3">
        <f t="shared" si="7"/>
        <v>1.146484375</v>
      </c>
      <c r="D34" s="1">
        <v>-9</v>
      </c>
      <c r="E34" s="3">
        <f t="shared" si="0"/>
        <v>104.458</v>
      </c>
      <c r="F34" s="3">
        <f t="shared" si="1"/>
        <v>13.42578125</v>
      </c>
      <c r="G34" s="1">
        <v>-13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>
        <v>58</v>
      </c>
      <c r="B35" s="3">
        <f t="shared" si="6"/>
        <v>5.799</v>
      </c>
      <c r="C35" s="3">
        <f t="shared" si="7"/>
        <v>2.150390625</v>
      </c>
      <c r="D35" s="2">
        <v>-10</v>
      </c>
      <c r="E35" s="3">
        <f t="shared" si="0"/>
        <v>44.609</v>
      </c>
      <c r="F35" s="3">
        <f t="shared" si="1"/>
        <v>18.474609375</v>
      </c>
      <c r="G35" s="2">
        <v>-16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>
        <v>60</v>
      </c>
      <c r="B36" s="3">
        <f t="shared" si="6"/>
        <v>17.157</v>
      </c>
      <c r="C36" s="3">
        <f t="shared" si="7"/>
        <v>6.3984375</v>
      </c>
      <c r="D36" s="1">
        <v>-7</v>
      </c>
      <c r="E36" s="6" t="s">
        <v>6</v>
      </c>
      <c r="F36" s="6" t="s">
        <v>6</v>
      </c>
      <c r="G36" s="4" t="s">
        <v>6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>
        <v>62</v>
      </c>
      <c r="B37" s="3">
        <f t="shared" si="6"/>
        <v>9.274</v>
      </c>
      <c r="C37" s="3">
        <f t="shared" si="7"/>
        <v>1.615234375</v>
      </c>
      <c r="D37" s="1">
        <v>-3</v>
      </c>
      <c r="E37" s="6" t="s">
        <v>6</v>
      </c>
      <c r="F37" s="6" t="s">
        <v>6</v>
      </c>
      <c r="G37" s="4" t="s">
        <v>6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>
        <v>64</v>
      </c>
      <c r="B38" s="3">
        <f t="shared" si="6"/>
        <v>11.394</v>
      </c>
      <c r="C38" s="3">
        <f t="shared" si="7"/>
        <v>1.95703125</v>
      </c>
      <c r="D38" s="1">
        <v>-7</v>
      </c>
      <c r="E38" s="3">
        <f t="shared" si="0"/>
        <v>137.537</v>
      </c>
      <c r="F38" s="3">
        <f t="shared" si="1"/>
        <v>37.6123046875</v>
      </c>
      <c r="G38" s="1">
        <v>-13</v>
      </c>
      <c r="H38" s="1"/>
      <c r="I38" s="1"/>
      <c r="J38" s="1"/>
      <c r="K38" s="1"/>
      <c r="L38" s="1"/>
      <c r="M38" s="1"/>
      <c r="N38" s="1"/>
      <c r="O38" s="1"/>
      <c r="P38" s="1"/>
    </row>
  </sheetData>
  <mergeCells count="10">
    <mergeCell ref="B1:D1"/>
    <mergeCell ref="E1:G1"/>
    <mergeCell ref="H1:J1"/>
    <mergeCell ref="K1:M1"/>
    <mergeCell ref="N1:P1"/>
    <mergeCell ref="B21:D21"/>
    <mergeCell ref="E21:G21"/>
    <mergeCell ref="H21:J21"/>
    <mergeCell ref="K21:M21"/>
    <mergeCell ref="N21:P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BP</vt:lpstr>
      <vt:lpstr>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huangx607087</dc:creator>
  <cp:lastModifiedBy>huangx607087</cp:lastModifiedBy>
  <dcterms:created xsi:type="dcterms:W3CDTF">2026-01-07T05:41:00Z</dcterms:created>
  <dcterms:modified xsi:type="dcterms:W3CDTF">2026-05-31T10:41:14Z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C71F5A7278EA154CFE6D5A69E508838E_41</vt:lpwstr>
  </property>
  <property fmtid="{D5CDD505-2E9C-101B-9397-08002B2CF9AE}" pid="3" name="KSOProductBuildVer">
    <vt:lpwstr>2052-12.1.2.22571</vt:lpwstr>
  </property>
</Properties>
</file>